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siswa\Downloads\"/>
    </mc:Choice>
  </mc:AlternateContent>
  <xr:revisionPtr revIDLastSave="0" documentId="13_ncr:1_{20B521E6-5774-411F-8FFD-0604B28E6877}" xr6:coauthVersionLast="45" xr6:coauthVersionMax="45" xr10:uidLastSave="{00000000-0000-0000-0000-000000000000}"/>
  <bookViews>
    <workbookView xWindow="-120" yWindow="-120" windowWidth="29040" windowHeight="15720" xr2:uid="{539B1FA3-1358-41A9-BE5F-4AB1A9FF1B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1" l="1"/>
  <c r="U7" i="1"/>
  <c r="T8" i="1"/>
  <c r="T7" i="1"/>
  <c r="S8" i="1"/>
  <c r="S9" i="1"/>
  <c r="S7" i="1"/>
  <c r="M8" i="1"/>
  <c r="L8" i="1"/>
  <c r="K8" i="1"/>
  <c r="J8" i="1"/>
  <c r="L7" i="1"/>
  <c r="K7" i="1"/>
  <c r="J7" i="1"/>
  <c r="M7" i="1"/>
  <c r="E7" i="1"/>
  <c r="D12" i="1" l="1"/>
  <c r="C13" i="1"/>
  <c r="D11" i="1"/>
  <c r="D13" i="1" l="1"/>
  <c r="C14" i="1"/>
  <c r="D14" i="1" l="1"/>
  <c r="C15" i="1"/>
  <c r="D15" i="1" l="1"/>
  <c r="C16" i="1"/>
  <c r="D16" i="1" l="1"/>
  <c r="C17" i="1"/>
  <c r="D17" i="1" l="1"/>
  <c r="C18" i="1"/>
  <c r="C19" i="1" l="1"/>
  <c r="D18" i="1"/>
  <c r="C20" i="1" l="1"/>
  <c r="D19" i="1"/>
  <c r="C21" i="1" l="1"/>
  <c r="D20" i="1"/>
  <c r="C22" i="1" l="1"/>
  <c r="D21" i="1"/>
  <c r="C23" i="1" l="1"/>
  <c r="D22" i="1"/>
  <c r="C24" i="1" l="1"/>
  <c r="D23" i="1"/>
  <c r="C25" i="1" l="1"/>
  <c r="D24" i="1"/>
  <c r="C26" i="1" l="1"/>
  <c r="D25" i="1"/>
  <c r="C27" i="1" l="1"/>
  <c r="D26" i="1"/>
  <c r="C28" i="1" l="1"/>
  <c r="D27" i="1"/>
  <c r="C29" i="1" l="1"/>
  <c r="D28" i="1"/>
  <c r="C30" i="1" l="1"/>
  <c r="D29" i="1"/>
  <c r="C31" i="1" l="1"/>
  <c r="D30" i="1"/>
  <c r="C32" i="1" l="1"/>
  <c r="D31" i="1"/>
  <c r="C33" i="1" l="1"/>
  <c r="D32" i="1"/>
  <c r="C34" i="1" l="1"/>
  <c r="D33" i="1"/>
  <c r="C35" i="1" l="1"/>
  <c r="D34" i="1"/>
  <c r="C36" i="1" l="1"/>
  <c r="D35" i="1"/>
  <c r="C37" i="1" l="1"/>
  <c r="D36" i="1"/>
  <c r="C38" i="1" l="1"/>
  <c r="D37" i="1"/>
  <c r="C39" i="1" l="1"/>
  <c r="D38" i="1"/>
  <c r="C40" i="1" l="1"/>
  <c r="D39" i="1"/>
  <c r="C41" i="1" l="1"/>
  <c r="D41" i="1" s="1"/>
  <c r="D40" i="1"/>
</calcChain>
</file>

<file path=xl/sharedStrings.xml><?xml version="1.0" encoding="utf-8"?>
<sst xmlns="http://schemas.openxmlformats.org/spreadsheetml/2006/main" count="24" uniqueCount="15">
  <si>
    <t>Interpolasi</t>
  </si>
  <si>
    <t xml:space="preserve">Linier </t>
  </si>
  <si>
    <t>x</t>
  </si>
  <si>
    <t>y</t>
  </si>
  <si>
    <t>n</t>
  </si>
  <si>
    <t>Linier</t>
  </si>
  <si>
    <t>y_i</t>
  </si>
  <si>
    <t>x_i</t>
  </si>
  <si>
    <t>Kuadratik</t>
  </si>
  <si>
    <t>kuadrat</t>
  </si>
  <si>
    <t>I</t>
  </si>
  <si>
    <t>II</t>
  </si>
  <si>
    <t>III</t>
  </si>
  <si>
    <t>Newton</t>
  </si>
  <si>
    <t>1+A12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</si>
</sst>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1" xfId="1"/>
    <xf numFmtId="0" fontId="2" fillId="5" borderId="2" xfId="0" applyFont="1" applyFill="1" applyBorder="1"/>
    <xf numFmtId="0" fontId="1" fillId="6" borderId="1" xfId="1" applyFill="1" applyAlignment="1">
      <alignment horizontal="center"/>
    </xf>
    <xf numFmtId="0" fontId="1" fillId="6" borderId="1" xfId="1" applyFill="1"/>
    <xf numFmtId="0" fontId="1" fillId="7" borderId="1" xfId="1" applyFill="1" applyAlignment="1">
      <alignment horizontal="center"/>
    </xf>
  </cellXfs>
  <cellStyles count="2">
    <cellStyle name="Input" xfId="1" builtinId="20"/>
    <cellStyle name="Normal" xfId="0" builtinId="0"/>
  </cellStyles>
  <dxfs count="3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553149606299209E-2"/>
          <c:y val="0.15782407407407409"/>
          <c:w val="0.88073862642169731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Sheet1!$C$11:$C$41</c:f>
              <c:numCache>
                <c:formatCode>General</c:formatCode>
                <c:ptCount val="3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  <c:pt idx="11">
                  <c:v>2.100000000000001</c:v>
                </c:pt>
                <c:pt idx="12">
                  <c:v>2.2000000000000011</c:v>
                </c:pt>
                <c:pt idx="13">
                  <c:v>2.3000000000000012</c:v>
                </c:pt>
                <c:pt idx="14">
                  <c:v>2.4000000000000012</c:v>
                </c:pt>
                <c:pt idx="15">
                  <c:v>2.5000000000000013</c:v>
                </c:pt>
                <c:pt idx="16">
                  <c:v>2.6000000000000014</c:v>
                </c:pt>
                <c:pt idx="17">
                  <c:v>2.7000000000000015</c:v>
                </c:pt>
                <c:pt idx="18">
                  <c:v>2.8000000000000016</c:v>
                </c:pt>
                <c:pt idx="19">
                  <c:v>2.9000000000000017</c:v>
                </c:pt>
                <c:pt idx="20">
                  <c:v>3.0000000000000018</c:v>
                </c:pt>
                <c:pt idx="21">
                  <c:v>3.1000000000000019</c:v>
                </c:pt>
                <c:pt idx="22">
                  <c:v>3.200000000000002</c:v>
                </c:pt>
                <c:pt idx="23">
                  <c:v>3.300000000000002</c:v>
                </c:pt>
                <c:pt idx="24">
                  <c:v>3.4000000000000021</c:v>
                </c:pt>
                <c:pt idx="25">
                  <c:v>3.5000000000000022</c:v>
                </c:pt>
                <c:pt idx="26">
                  <c:v>3.6000000000000023</c:v>
                </c:pt>
                <c:pt idx="27">
                  <c:v>3.7000000000000024</c:v>
                </c:pt>
                <c:pt idx="28">
                  <c:v>3.8000000000000025</c:v>
                </c:pt>
                <c:pt idx="29">
                  <c:v>3.9000000000000026</c:v>
                </c:pt>
                <c:pt idx="30">
                  <c:v>4.0000000000000027</c:v>
                </c:pt>
              </c:numCache>
            </c:numRef>
          </c:xVal>
          <c:yVal>
            <c:numRef>
              <c:f>Sheet1!$D$11:$D$41</c:f>
              <c:numCache>
                <c:formatCode>General</c:formatCode>
                <c:ptCount val="31"/>
                <c:pt idx="0">
                  <c:v>0</c:v>
                </c:pt>
                <c:pt idx="1">
                  <c:v>4.620000000000004E-2</c:v>
                </c:pt>
                <c:pt idx="2">
                  <c:v>9.2400000000000079E-2</c:v>
                </c:pt>
                <c:pt idx="3">
                  <c:v>0.13860000000000011</c:v>
                </c:pt>
                <c:pt idx="4">
                  <c:v>0.18480000000000016</c:v>
                </c:pt>
                <c:pt idx="5">
                  <c:v>0.23100000000000018</c:v>
                </c:pt>
                <c:pt idx="6">
                  <c:v>0.27720000000000022</c:v>
                </c:pt>
                <c:pt idx="7">
                  <c:v>0.32340000000000024</c:v>
                </c:pt>
                <c:pt idx="8">
                  <c:v>0.36960000000000032</c:v>
                </c:pt>
                <c:pt idx="9">
                  <c:v>0.41580000000000034</c:v>
                </c:pt>
                <c:pt idx="10">
                  <c:v>0.46200000000000035</c:v>
                </c:pt>
                <c:pt idx="11">
                  <c:v>0.50820000000000043</c:v>
                </c:pt>
                <c:pt idx="12">
                  <c:v>0.55440000000000045</c:v>
                </c:pt>
                <c:pt idx="13">
                  <c:v>0.60060000000000047</c:v>
                </c:pt>
                <c:pt idx="14">
                  <c:v>0.64680000000000049</c:v>
                </c:pt>
                <c:pt idx="15">
                  <c:v>0.69300000000000062</c:v>
                </c:pt>
                <c:pt idx="16">
                  <c:v>0.73920000000000063</c:v>
                </c:pt>
                <c:pt idx="17">
                  <c:v>0.78540000000000065</c:v>
                </c:pt>
                <c:pt idx="18">
                  <c:v>0.83160000000000067</c:v>
                </c:pt>
                <c:pt idx="19">
                  <c:v>0.87780000000000069</c:v>
                </c:pt>
                <c:pt idx="20">
                  <c:v>0.92400000000000071</c:v>
                </c:pt>
                <c:pt idx="21">
                  <c:v>0.97020000000000084</c:v>
                </c:pt>
                <c:pt idx="22">
                  <c:v>1.0164000000000009</c:v>
                </c:pt>
                <c:pt idx="23">
                  <c:v>1.0626000000000009</c:v>
                </c:pt>
                <c:pt idx="24">
                  <c:v>1.1088000000000009</c:v>
                </c:pt>
                <c:pt idx="25">
                  <c:v>1.1550000000000009</c:v>
                </c:pt>
                <c:pt idx="26">
                  <c:v>1.2012000000000009</c:v>
                </c:pt>
                <c:pt idx="27">
                  <c:v>1.247400000000001</c:v>
                </c:pt>
                <c:pt idx="28">
                  <c:v>1.293600000000001</c:v>
                </c:pt>
                <c:pt idx="29">
                  <c:v>1.339800000000001</c:v>
                </c:pt>
                <c:pt idx="30">
                  <c:v>1.3860000000000012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E8-44A4-8873-C178CFFF9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064591"/>
        <c:axId val="1398970319"/>
      </c:scatterChart>
      <c:valAx>
        <c:axId val="140706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970319"/>
        <c:crosses val="autoZero"/>
        <c:crossBetween val="midCat"/>
      </c:valAx>
      <c:valAx>
        <c:axId val="139897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06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11</xdr:row>
      <xdr:rowOff>33337</xdr:rowOff>
    </xdr:from>
    <xdr:to>
      <xdr:col>8</xdr:col>
      <xdr:colOff>504825</xdr:colOff>
      <xdr:row>25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822421-AE91-4E9C-B453-FBB3D2691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DA3B24-5B4E-4224-8CB0-E24A5E1AC22C}" name="Table1" displayName="Table1" ref="C10:D41" totalsRowShown="0" dataDxfId="1" headerRowCellStyle="Input" dataCellStyle="Input">
  <autoFilter ref="C10:D41" xr:uid="{820D01D2-DF4E-44C4-87D4-984E7C3A7B94}"/>
  <tableColumns count="2">
    <tableColumn id="1" xr3:uid="{33F88A33-2D9A-40C2-96C6-EDB7998F7B13}" name="x_i" dataDxfId="0" dataCellStyle="Input">
      <calculatedColumnFormula>C10+0.1</calculatedColumnFormula>
    </tableColumn>
    <tableColumn id="2" xr3:uid="{F4A2D0C0-B4A8-45C8-9F0D-70E33A212DDC}" name="y_i" dataDxfId="2" dataCellStyle="Input">
      <calculatedColumnFormula>$D$7+(($D$8-$D$7)/($C$8-$C$7))*(C11-$C$7)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83B2-5616-44EC-BCA8-D4972EA4B3E2}">
  <dimension ref="A2:U41"/>
  <sheetViews>
    <sheetView tabSelected="1" workbookViewId="0">
      <selection activeCell="H4" sqref="H4"/>
    </sheetView>
  </sheetViews>
  <sheetFormatPr defaultRowHeight="15" x14ac:dyDescent="0.25"/>
  <sheetData>
    <row r="2" spans="1:21" x14ac:dyDescent="0.25">
      <c r="B2" s="2" t="s">
        <v>0</v>
      </c>
      <c r="C2" s="2"/>
      <c r="D2" s="2"/>
    </row>
    <row r="4" spans="1:21" x14ac:dyDescent="0.25">
      <c r="B4" s="3" t="s">
        <v>1</v>
      </c>
      <c r="C4" s="3"/>
      <c r="D4" s="3"/>
      <c r="J4" s="3" t="s">
        <v>8</v>
      </c>
      <c r="K4" s="3"/>
      <c r="L4" s="3"/>
      <c r="P4" s="3" t="s">
        <v>13</v>
      </c>
      <c r="Q4" s="3"/>
      <c r="R4" s="3"/>
    </row>
    <row r="6" spans="1:21" x14ac:dyDescent="0.25">
      <c r="B6" s="8" t="s">
        <v>4</v>
      </c>
      <c r="C6" s="8" t="s">
        <v>2</v>
      </c>
      <c r="D6" s="8" t="s">
        <v>3</v>
      </c>
      <c r="E6" s="8" t="s">
        <v>5</v>
      </c>
      <c r="J6" s="8" t="s">
        <v>4</v>
      </c>
      <c r="K6" s="8" t="s">
        <v>2</v>
      </c>
      <c r="L6" s="8" t="s">
        <v>3</v>
      </c>
      <c r="M6" s="8" t="s">
        <v>5</v>
      </c>
      <c r="N6" s="8" t="s">
        <v>9</v>
      </c>
      <c r="P6" s="8" t="s">
        <v>4</v>
      </c>
      <c r="Q6" s="8" t="s">
        <v>2</v>
      </c>
      <c r="R6" s="8" t="s">
        <v>3</v>
      </c>
      <c r="S6" s="8" t="s">
        <v>10</v>
      </c>
      <c r="T6" s="8" t="s">
        <v>11</v>
      </c>
      <c r="U6" s="8" t="s">
        <v>12</v>
      </c>
    </row>
    <row r="7" spans="1:21" x14ac:dyDescent="0.25">
      <c r="B7" s="6">
        <v>0</v>
      </c>
      <c r="C7" s="6">
        <v>1</v>
      </c>
      <c r="D7" s="6">
        <v>0</v>
      </c>
      <c r="E7" s="6">
        <f>D7+(D8-D7)/(C8-C7)*(2-C7)</f>
        <v>0.46199999999999997</v>
      </c>
      <c r="J7" s="6">
        <f>B7</f>
        <v>0</v>
      </c>
      <c r="K7" s="6">
        <f>C7</f>
        <v>1</v>
      </c>
      <c r="L7" s="6">
        <f>D7</f>
        <v>0</v>
      </c>
      <c r="M7" s="6">
        <f>E7</f>
        <v>0.46199999999999997</v>
      </c>
      <c r="N7" s="6"/>
      <c r="P7" s="6">
        <v>0</v>
      </c>
      <c r="Q7" s="6">
        <v>1</v>
      </c>
      <c r="R7" s="6">
        <v>0</v>
      </c>
      <c r="S7" s="6">
        <f>(R8-R7)/(Q8-Q7)</f>
        <v>0.46199999999999997</v>
      </c>
      <c r="T7" s="6">
        <f>((S8-S7)/(Q9-Q7))</f>
        <v>-5.9499999999999942E-2</v>
      </c>
      <c r="U7" s="6">
        <f>(T8- T7)/(Q10-Q7)</f>
        <v>7.6999999999999621E-3</v>
      </c>
    </row>
    <row r="8" spans="1:21" x14ac:dyDescent="0.25">
      <c r="B8" s="6">
        <v>1</v>
      </c>
      <c r="C8" s="6">
        <v>4</v>
      </c>
      <c r="D8" s="6">
        <v>1.3859999999999999</v>
      </c>
      <c r="E8" s="6"/>
      <c r="J8" s="6">
        <f>B8</f>
        <v>1</v>
      </c>
      <c r="K8" s="6">
        <f>C8</f>
        <v>4</v>
      </c>
      <c r="L8" s="6">
        <f>D8</f>
        <v>1.3859999999999999</v>
      </c>
      <c r="M8" s="6">
        <f>((L9-L8)/(K9-K8))</f>
        <v>0.20300000000000007</v>
      </c>
      <c r="N8" s="6"/>
      <c r="P8" s="6">
        <v>1</v>
      </c>
      <c r="Q8" s="6">
        <v>4</v>
      </c>
      <c r="R8" s="6">
        <v>1.3859999999999999</v>
      </c>
      <c r="S8" s="6">
        <f>(R9-R8)/(Q9-Q8)</f>
        <v>0.2240000000000002</v>
      </c>
      <c r="T8" s="6">
        <f>(S9-S8)/(Q10-Q8)</f>
        <v>-2.100000000000013E-2</v>
      </c>
      <c r="U8" s="6"/>
    </row>
    <row r="9" spans="1:21" x14ac:dyDescent="0.25">
      <c r="J9" s="6">
        <v>2</v>
      </c>
      <c r="K9" s="6">
        <v>6</v>
      </c>
      <c r="L9" s="6">
        <v>1.792</v>
      </c>
      <c r="M9" s="6"/>
      <c r="N9" s="6"/>
      <c r="P9" s="6">
        <v>2</v>
      </c>
      <c r="Q9" s="6">
        <v>5</v>
      </c>
      <c r="R9" s="6">
        <v>1.61</v>
      </c>
      <c r="S9" s="6">
        <f>((R10-R9)/(Q10-Q9))</f>
        <v>0.18199999999999994</v>
      </c>
      <c r="T9" s="6"/>
      <c r="U9" s="6"/>
    </row>
    <row r="10" spans="1:21" x14ac:dyDescent="0.25">
      <c r="B10" s="1"/>
      <c r="C10" s="4" t="s">
        <v>7</v>
      </c>
      <c r="D10" s="4" t="s">
        <v>6</v>
      </c>
      <c r="P10" s="6">
        <v>3</v>
      </c>
      <c r="Q10" s="6">
        <v>6</v>
      </c>
      <c r="R10" s="6">
        <v>1.792</v>
      </c>
      <c r="S10" s="6"/>
      <c r="T10" s="6"/>
      <c r="U10" s="6"/>
    </row>
    <row r="11" spans="1:21" x14ac:dyDescent="0.25">
      <c r="C11" s="7">
        <v>1</v>
      </c>
      <c r="D11" s="7">
        <f>$D$7+(($D$8-$D$7)/($C$8-$C$7))*(C11-$C$7)</f>
        <v>0</v>
      </c>
      <c r="K11" s="5" t="s">
        <v>7</v>
      </c>
      <c r="L11" s="5" t="s">
        <v>6</v>
      </c>
    </row>
    <row r="12" spans="1:21" x14ac:dyDescent="0.25">
      <c r="A12" t="s">
        <v>14</v>
      </c>
      <c r="C12" s="7">
        <f>C11+0.1</f>
        <v>1.1000000000000001</v>
      </c>
      <c r="D12" s="7">
        <f t="shared" ref="D12:D41" si="0">$D$7+(($D$8-$D$7)/($C$8-$C$7))*(C12-$C$7)</f>
        <v>4.620000000000004E-2</v>
      </c>
      <c r="K12">
        <v>1</v>
      </c>
    </row>
    <row r="13" spans="1:21" x14ac:dyDescent="0.25">
      <c r="C13" s="7">
        <f t="shared" ref="C13:C21" si="1">C12+0.1</f>
        <v>1.2000000000000002</v>
      </c>
      <c r="D13" s="7">
        <f t="shared" si="0"/>
        <v>9.2400000000000079E-2</v>
      </c>
    </row>
    <row r="14" spans="1:21" x14ac:dyDescent="0.25">
      <c r="C14" s="7">
        <f t="shared" si="1"/>
        <v>1.3000000000000003</v>
      </c>
      <c r="D14" s="7">
        <f t="shared" si="0"/>
        <v>0.13860000000000011</v>
      </c>
    </row>
    <row r="15" spans="1:21" x14ac:dyDescent="0.25">
      <c r="C15" s="7">
        <f t="shared" si="1"/>
        <v>1.4000000000000004</v>
      </c>
      <c r="D15" s="7">
        <f t="shared" si="0"/>
        <v>0.18480000000000016</v>
      </c>
    </row>
    <row r="16" spans="1:21" x14ac:dyDescent="0.25">
      <c r="C16" s="7">
        <f t="shared" si="1"/>
        <v>1.5000000000000004</v>
      </c>
      <c r="D16" s="7">
        <f t="shared" si="0"/>
        <v>0.23100000000000018</v>
      </c>
    </row>
    <row r="17" spans="3:4" x14ac:dyDescent="0.25">
      <c r="C17" s="7">
        <f t="shared" si="1"/>
        <v>1.6000000000000005</v>
      </c>
      <c r="D17" s="7">
        <f t="shared" si="0"/>
        <v>0.27720000000000022</v>
      </c>
    </row>
    <row r="18" spans="3:4" x14ac:dyDescent="0.25">
      <c r="C18" s="7">
        <f t="shared" si="1"/>
        <v>1.7000000000000006</v>
      </c>
      <c r="D18" s="7">
        <f t="shared" si="0"/>
        <v>0.32340000000000024</v>
      </c>
    </row>
    <row r="19" spans="3:4" x14ac:dyDescent="0.25">
      <c r="C19" s="7">
        <f t="shared" si="1"/>
        <v>1.8000000000000007</v>
      </c>
      <c r="D19" s="7">
        <f t="shared" si="0"/>
        <v>0.36960000000000032</v>
      </c>
    </row>
    <row r="20" spans="3:4" x14ac:dyDescent="0.25">
      <c r="C20" s="7">
        <f t="shared" si="1"/>
        <v>1.9000000000000008</v>
      </c>
      <c r="D20" s="7">
        <f t="shared" si="0"/>
        <v>0.41580000000000034</v>
      </c>
    </row>
    <row r="21" spans="3:4" x14ac:dyDescent="0.25">
      <c r="C21" s="7">
        <f t="shared" si="1"/>
        <v>2.0000000000000009</v>
      </c>
      <c r="D21" s="7">
        <f t="shared" si="0"/>
        <v>0.46200000000000035</v>
      </c>
    </row>
    <row r="22" spans="3:4" x14ac:dyDescent="0.25">
      <c r="C22" s="7">
        <f t="shared" ref="C22:C41" si="2">C21+0.1</f>
        <v>2.100000000000001</v>
      </c>
      <c r="D22" s="7">
        <f t="shared" si="0"/>
        <v>0.50820000000000043</v>
      </c>
    </row>
    <row r="23" spans="3:4" x14ac:dyDescent="0.25">
      <c r="C23" s="7">
        <f t="shared" si="2"/>
        <v>2.2000000000000011</v>
      </c>
      <c r="D23" s="7">
        <f t="shared" si="0"/>
        <v>0.55440000000000045</v>
      </c>
    </row>
    <row r="24" spans="3:4" x14ac:dyDescent="0.25">
      <c r="C24" s="7">
        <f t="shared" si="2"/>
        <v>2.3000000000000012</v>
      </c>
      <c r="D24" s="7">
        <f t="shared" si="0"/>
        <v>0.60060000000000047</v>
      </c>
    </row>
    <row r="25" spans="3:4" x14ac:dyDescent="0.25">
      <c r="C25" s="7">
        <f t="shared" si="2"/>
        <v>2.4000000000000012</v>
      </c>
      <c r="D25" s="7">
        <f t="shared" si="0"/>
        <v>0.64680000000000049</v>
      </c>
    </row>
    <row r="26" spans="3:4" x14ac:dyDescent="0.25">
      <c r="C26" s="7">
        <f t="shared" si="2"/>
        <v>2.5000000000000013</v>
      </c>
      <c r="D26" s="7">
        <f t="shared" si="0"/>
        <v>0.69300000000000062</v>
      </c>
    </row>
    <row r="27" spans="3:4" x14ac:dyDescent="0.25">
      <c r="C27" s="7">
        <f t="shared" si="2"/>
        <v>2.6000000000000014</v>
      </c>
      <c r="D27" s="7">
        <f t="shared" si="0"/>
        <v>0.73920000000000063</v>
      </c>
    </row>
    <row r="28" spans="3:4" x14ac:dyDescent="0.25">
      <c r="C28" s="7">
        <f t="shared" si="2"/>
        <v>2.7000000000000015</v>
      </c>
      <c r="D28" s="7">
        <f t="shared" si="0"/>
        <v>0.78540000000000065</v>
      </c>
    </row>
    <row r="29" spans="3:4" x14ac:dyDescent="0.25">
      <c r="C29" s="7">
        <f t="shared" si="2"/>
        <v>2.8000000000000016</v>
      </c>
      <c r="D29" s="7">
        <f t="shared" si="0"/>
        <v>0.83160000000000067</v>
      </c>
    </row>
    <row r="30" spans="3:4" x14ac:dyDescent="0.25">
      <c r="C30" s="7">
        <f t="shared" si="2"/>
        <v>2.9000000000000017</v>
      </c>
      <c r="D30" s="7">
        <f t="shared" si="0"/>
        <v>0.87780000000000069</v>
      </c>
    </row>
    <row r="31" spans="3:4" x14ac:dyDescent="0.25">
      <c r="C31" s="7">
        <f t="shared" si="2"/>
        <v>3.0000000000000018</v>
      </c>
      <c r="D31" s="7">
        <f t="shared" si="0"/>
        <v>0.92400000000000071</v>
      </c>
    </row>
    <row r="32" spans="3:4" x14ac:dyDescent="0.25">
      <c r="C32" s="7">
        <f t="shared" si="2"/>
        <v>3.1000000000000019</v>
      </c>
      <c r="D32" s="7">
        <f t="shared" si="0"/>
        <v>0.97020000000000084</v>
      </c>
    </row>
    <row r="33" spans="3:4" x14ac:dyDescent="0.25">
      <c r="C33" s="7">
        <f t="shared" si="2"/>
        <v>3.200000000000002</v>
      </c>
      <c r="D33" s="7">
        <f t="shared" si="0"/>
        <v>1.0164000000000009</v>
      </c>
    </row>
    <row r="34" spans="3:4" x14ac:dyDescent="0.25">
      <c r="C34" s="7">
        <f t="shared" si="2"/>
        <v>3.300000000000002</v>
      </c>
      <c r="D34" s="7">
        <f t="shared" si="0"/>
        <v>1.0626000000000009</v>
      </c>
    </row>
    <row r="35" spans="3:4" x14ac:dyDescent="0.25">
      <c r="C35" s="7">
        <f t="shared" si="2"/>
        <v>3.4000000000000021</v>
      </c>
      <c r="D35" s="7">
        <f t="shared" si="0"/>
        <v>1.1088000000000009</v>
      </c>
    </row>
    <row r="36" spans="3:4" x14ac:dyDescent="0.25">
      <c r="C36" s="7">
        <f t="shared" si="2"/>
        <v>3.5000000000000022</v>
      </c>
      <c r="D36" s="7">
        <f t="shared" si="0"/>
        <v>1.1550000000000009</v>
      </c>
    </row>
    <row r="37" spans="3:4" x14ac:dyDescent="0.25">
      <c r="C37" s="7">
        <f t="shared" si="2"/>
        <v>3.6000000000000023</v>
      </c>
      <c r="D37" s="7">
        <f t="shared" si="0"/>
        <v>1.2012000000000009</v>
      </c>
    </row>
    <row r="38" spans="3:4" x14ac:dyDescent="0.25">
      <c r="C38" s="7">
        <f t="shared" si="2"/>
        <v>3.7000000000000024</v>
      </c>
      <c r="D38" s="7">
        <f t="shared" si="0"/>
        <v>1.247400000000001</v>
      </c>
    </row>
    <row r="39" spans="3:4" x14ac:dyDescent="0.25">
      <c r="C39" s="7">
        <f t="shared" si="2"/>
        <v>3.8000000000000025</v>
      </c>
      <c r="D39" s="7">
        <f t="shared" si="0"/>
        <v>1.293600000000001</v>
      </c>
    </row>
    <row r="40" spans="3:4" x14ac:dyDescent="0.25">
      <c r="C40" s="7">
        <f t="shared" si="2"/>
        <v>3.9000000000000026</v>
      </c>
      <c r="D40" s="7">
        <f t="shared" si="0"/>
        <v>1.339800000000001</v>
      </c>
    </row>
    <row r="41" spans="3:4" x14ac:dyDescent="0.25">
      <c r="C41" s="7">
        <f t="shared" si="2"/>
        <v>4.0000000000000027</v>
      </c>
      <c r="D41" s="7">
        <f t="shared" si="0"/>
        <v>1.3860000000000012</v>
      </c>
    </row>
  </sheetData>
  <mergeCells count="4">
    <mergeCell ref="B2:D2"/>
    <mergeCell ref="B4:D4"/>
    <mergeCell ref="P4:R4"/>
    <mergeCell ref="J4:L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2026-10-16T07:34:24Z</dcterms:created>
  <dcterms:modified xsi:type="dcterms:W3CDTF">2026-10-16T08:57:06Z</dcterms:modified>
</cp:coreProperties>
</file>